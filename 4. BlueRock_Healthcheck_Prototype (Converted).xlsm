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bluerockhq-my.sharepoint.com/personal/daniel_eason_thebluerock_com_au/Documents/Documents/Healthcheck/"/>
    </mc:Choice>
  </mc:AlternateContent>
  <xr:revisionPtr revIDLastSave="59" documentId="8_{65C5D145-E18B-469C-9022-E871026CB847}" xr6:coauthVersionLast="47" xr6:coauthVersionMax="47" xr10:uidLastSave="{1F4E3D5C-D3EA-4F96-A825-4D8C71B08E3D}"/>
  <bookViews>
    <workbookView xWindow="-120" yWindow="-120" windowWidth="29040" windowHeight="15720" tabRatio="500" xr2:uid="{00000000-000D-0000-FFFF-FFFF00000000}"/>
  </bookViews>
  <sheets>
    <sheet name="Instructions" sheetId="1" r:id="rId1"/>
    <sheet name="Controls" sheetId="2" r:id="rId2"/>
    <sheet name="Setup" sheetId="3" r:id="rId3"/>
    <sheet name="Inputs" sheetId="4" r:id="rId4"/>
    <sheet name="Results" sheetId="5" r:id="rId5"/>
    <sheet name="Data" sheetId="6" r:id="rId6"/>
    <sheet name="Notes" sheetId="7" r:id="rId7"/>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E20" i="6" l="1"/>
  <c r="E19" i="6"/>
  <c r="E18" i="6"/>
  <c r="E17" i="6"/>
  <c r="E16" i="6"/>
  <c r="E15" i="6"/>
  <c r="E14" i="6"/>
  <c r="E13" i="6"/>
  <c r="E12" i="6"/>
  <c r="E11" i="6"/>
  <c r="E10" i="6"/>
  <c r="E9" i="6"/>
  <c r="E8" i="6"/>
  <c r="E7" i="6"/>
  <c r="E6" i="6"/>
  <c r="B6" i="6"/>
  <c r="E5" i="6"/>
  <c r="B5" i="6"/>
  <c r="E7" i="5"/>
  <c r="F7" i="5" s="1"/>
  <c r="E6" i="5"/>
  <c r="F6" i="5" s="1"/>
  <c r="E5" i="5"/>
  <c r="B11" i="6" s="1"/>
  <c r="E4" i="5"/>
  <c r="F4" i="5" s="1"/>
  <c r="B3" i="5"/>
  <c r="B13" i="6" l="1"/>
  <c r="E10" i="5"/>
  <c r="E11" i="5" s="1"/>
  <c r="B4" i="5"/>
  <c r="B5" i="5"/>
  <c r="F5" i="5"/>
  <c r="B7" i="6"/>
  <c r="B10" i="6"/>
  <c r="B6" i="5"/>
  <c r="B12" i="6"/>
  <c r="B14" i="6" l="1"/>
  <c r="A14" i="5"/>
  <c r="B8" i="6"/>
  <c r="B9" i="5"/>
  <c r="B7" i="5"/>
  <c r="B9" i="6" s="1"/>
  <c r="B8" i="5"/>
</calcChain>
</file>

<file path=xl/sharedStrings.xml><?xml version="1.0" encoding="utf-8"?>
<sst xmlns="http://schemas.openxmlformats.org/spreadsheetml/2006/main" count="179" uniqueCount="127">
  <si>
    <t>BlueRock Financial Healthcheck Prototype</t>
  </si>
  <si>
    <t>How to use this workbook</t>
  </si>
  <si>
    <t>1. Go to the Inputs sheet.</t>
  </si>
  <si>
    <t>2. Choose the ANZSIC division from the dropdown.</t>
  </si>
  <si>
    <t>3. Select one score (1 to 5) for each of the 16 questions.</t>
  </si>
  <si>
    <t>4. Review the Results sheet for the score, band and recommendation logic.</t>
  </si>
  <si>
    <t>5. Use the Data sheet later for anonymous submission storage if needed.</t>
  </si>
  <si>
    <t>This workbook is set up so you can test the scoring logic before it is connected to the website.</t>
  </si>
  <si>
    <t>Controls</t>
  </si>
  <si>
    <t>Industry selection</t>
  </si>
  <si>
    <t>Select ANZSIC division</t>
  </si>
  <si>
    <t>Industries</t>
  </si>
  <si>
    <t>Seed benchmark</t>
  </si>
  <si>
    <t>Risk adjust %</t>
  </si>
  <si>
    <t>Agriculture, Forestry &amp; Fishing</t>
  </si>
  <si>
    <t>Mining</t>
  </si>
  <si>
    <t>Manufacturing</t>
  </si>
  <si>
    <t>Electricity, Gas, Water &amp; Waste Services</t>
  </si>
  <si>
    <t>Construction</t>
  </si>
  <si>
    <t>Wholesale Trade</t>
  </si>
  <si>
    <t>Retail Trade</t>
  </si>
  <si>
    <t>Accommodation &amp; Food Services</t>
  </si>
  <si>
    <t>Transport, Postal &amp; Warehousing</t>
  </si>
  <si>
    <t>Information Media &amp; Telecommunications</t>
  </si>
  <si>
    <t>Financial &amp; Insurance Services</t>
  </si>
  <si>
    <t>Rental, Hiring &amp; Real Estate Services</t>
  </si>
  <si>
    <t>Professional, Scientific &amp; Technical Services</t>
  </si>
  <si>
    <t>Administrative &amp; Support Services</t>
  </si>
  <si>
    <t>Public Administration &amp; Safety</t>
  </si>
  <si>
    <t>Education &amp; Training</t>
  </si>
  <si>
    <t>Health Care &amp; Social Assistance</t>
  </si>
  <si>
    <t>Arts &amp; Recreation Services</t>
  </si>
  <si>
    <t>Other Services</t>
  </si>
  <si>
    <t>QID</t>
  </si>
  <si>
    <t>Quadrant</t>
  </si>
  <si>
    <t>Question</t>
  </si>
  <si>
    <t>Score 1</t>
  </si>
  <si>
    <t>Score 2</t>
  </si>
  <si>
    <t>Score 3</t>
  </si>
  <si>
    <t>Score 4</t>
  </si>
  <si>
    <t>Score 5</t>
  </si>
  <si>
    <t>User score</t>
  </si>
  <si>
    <t>S1</t>
  </si>
  <si>
    <t>Strengths</t>
  </si>
  <si>
    <t>What specific skills or capabilities does your finance team do best?</t>
  </si>
  <si>
    <t>S2</t>
  </si>
  <si>
    <t>How well do our current finance systems and software support productivity and accuracy?</t>
  </si>
  <si>
    <t>S3</t>
  </si>
  <si>
    <t>How often does the team deliver accurate and timely financial information that stakeholders can rely on?</t>
  </si>
  <si>
    <t>S4</t>
  </si>
  <si>
    <t>How effectively does the team identify and act on financial risks?</t>
  </si>
  <si>
    <t>W1</t>
  </si>
  <si>
    <t>Weaknesses</t>
  </si>
  <si>
    <t>To what extent would additional training improve your or the team's performance?</t>
  </si>
  <si>
    <t>W2</t>
  </si>
  <si>
    <t>How would you rate communication within the finance team and with other departments?</t>
  </si>
  <si>
    <t>W3</t>
  </si>
  <si>
    <t>How efficient and well-documented are our core finance processes?</t>
  </si>
  <si>
    <t>W4</t>
  </si>
  <si>
    <t>Are any critical functions overly dependent on one or two people (key-person risk)?</t>
  </si>
  <si>
    <t>O1</t>
  </si>
  <si>
    <t>Opportunities</t>
  </si>
  <si>
    <t>Which professional development or leadership capabilities would most improve team performance?</t>
  </si>
  <si>
    <t>O2</t>
  </si>
  <si>
    <t>How valuable would adopting new technologies (automation, analytics, cloud tools) be for operations?</t>
  </si>
  <si>
    <t>O3</t>
  </si>
  <si>
    <t>In day-to-day work, how many process improvements exist that could deliver measurable efficiency gains?</t>
  </si>
  <si>
    <t>O4</t>
  </si>
  <si>
    <t>How well does the finance team collaborate with other departments and where could collaboration be strengthened?</t>
  </si>
  <si>
    <t>T1</t>
  </si>
  <si>
    <t>Threats</t>
  </si>
  <si>
    <t>How prepared is the team for upcoming regulatory or industry changes?</t>
  </si>
  <si>
    <t>T2</t>
  </si>
  <si>
    <t>How capable is the team of managing financial volatility (for example cashflow shocks, rising FX, bad debts)?</t>
  </si>
  <si>
    <t>T3</t>
  </si>
  <si>
    <t>How well-prepared is the team to manage staffing risks such as turnover or skill shortages?</t>
  </si>
  <si>
    <t>T4</t>
  </si>
  <si>
    <t>How confident are you that our current cybersecurity measures adequately protect financial data?</t>
  </si>
  <si>
    <t>BlueRock Financial Healthcheck Results</t>
  </si>
  <si>
    <t>Use this sheet to review the score, benchmark position and recommendation logic.</t>
  </si>
  <si>
    <t>Industry</t>
  </si>
  <si>
    <t>Quadrant scores</t>
  </si>
  <si>
    <t>Percent</t>
  </si>
  <si>
    <t>Benchmark point</t>
  </si>
  <si>
    <t>Overall score</t>
  </si>
  <si>
    <t>Score band</t>
  </si>
  <si>
    <t>Position vs current comparison point</t>
  </si>
  <si>
    <t>Difference</t>
  </si>
  <si>
    <t>Recommendation driver</t>
  </si>
  <si>
    <t>Lowest quadrant</t>
  </si>
  <si>
    <t>Priority focus</t>
  </si>
  <si>
    <t>Result interpretation</t>
  </si>
  <si>
    <t>Next step</t>
  </si>
  <si>
    <t>If any of this resonates, BlueRock works with business owners and their teams to improve financial visibility, strengthen controls and build management accounting that genuinely supports better decisions. We also help businesses through outsourced CFO support where a senior finance resource part-time makes more sense than a full-time hire. If you would like to talk through your result, we would be happy to chat.</t>
  </si>
  <si>
    <t>Anonymous submission testing log</t>
  </si>
  <si>
    <t>This sheet is set up for a future Save Submission macro.</t>
  </si>
  <si>
    <t>Latest submission capture</t>
  </si>
  <si>
    <t>Latest question scores</t>
  </si>
  <si>
    <t>Submission ID</t>
  </si>
  <si>
    <t>Q1</t>
  </si>
  <si>
    <t>Timestamp</t>
  </si>
  <si>
    <t>Q2</t>
  </si>
  <si>
    <t>Q3</t>
  </si>
  <si>
    <t>Q4</t>
  </si>
  <si>
    <t>Band</t>
  </si>
  <si>
    <t>Q5</t>
  </si>
  <si>
    <t>Q6</t>
  </si>
  <si>
    <t>Q7</t>
  </si>
  <si>
    <t>Q8</t>
  </si>
  <si>
    <t>Q9</t>
  </si>
  <si>
    <t>Q10</t>
  </si>
  <si>
    <t>Q11</t>
  </si>
  <si>
    <t>Q12</t>
  </si>
  <si>
    <t>Testing workflow</t>
  </si>
  <si>
    <t>Q13</t>
  </si>
  <si>
    <t>1. Choose industry on Controls.</t>
  </si>
  <si>
    <t>Q14</t>
  </si>
  <si>
    <t>2. Enter scores on Inputs.</t>
  </si>
  <si>
    <t>Q15</t>
  </si>
  <si>
    <t>3. Review Results.</t>
  </si>
  <si>
    <t>Q16</t>
  </si>
  <si>
    <t>4. In the future .xlsm version, click Save Submission to append this to the log below.</t>
  </si>
  <si>
    <t>Submission log</t>
  </si>
  <si>
    <t>Future improvement</t>
  </si>
  <si>
    <t>Best next step for Excel</t>
  </si>
  <si>
    <t>Convert this workbook to .xlsm and import the provided VBA module. That will add a Save Submission macro and a Reset Form macro.</t>
  </si>
  <si>
    <t>Moderate risk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</si>
</sst>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5" formatCode="dd/mm/yyyy\ hh:mm"/>
    <numFmt numFmtId="169" formatCode="_-* #,##0_-;\-* #,##0_-;_-* &quot;-&quot;??_-;_-@_-"/>
  </numFmts>
  <fonts count="17" x14ac:knownFonts="1">
    <font>
      <sz val="11"/>
      <color rgb="FF000000"/>
      <name val="Calibri"/>
      <family val="2"/>
      <charset val="1"/>
    </font>
    <font>
      <sz val="10"/>
      <name val="Arial"/>
    </font>
    <font>
      <b/>
      <sz val="16"/>
      <color rgb="FF0027E3"/>
      <name val="Noto Sans"/>
      <charset val="1"/>
    </font>
    <font>
      <b/>
      <sz val="12"/>
      <color rgb="FF171717"/>
      <name val="Noto Sans"/>
      <charset val="1"/>
    </font>
    <font>
      <sz val="11"/>
      <color rgb="FF171717"/>
      <name val="Noto Sans"/>
      <charset val="1"/>
    </font>
    <font>
      <i/>
      <sz val="11"/>
      <color rgb="FF555555"/>
      <name val="Noto Sans"/>
      <charset val="1"/>
    </font>
    <font>
      <b/>
      <sz val="16"/>
      <color rgb="FF0027E3"/>
      <name val="Cambria"/>
      <charset val="1"/>
    </font>
    <font>
      <b/>
      <sz val="11"/>
      <name val="Cambria"/>
      <charset val="1"/>
    </font>
    <font>
      <sz val="11"/>
      <color rgb="FF171717"/>
      <name val="Cambria"/>
      <charset val="1"/>
    </font>
    <font>
      <b/>
      <sz val="11"/>
      <color rgb="FFFFFFFF"/>
      <name val="Noto Sans"/>
      <charset val="1"/>
    </font>
    <font>
      <sz val="10"/>
      <color rgb="FF171717"/>
      <name val="Noto Sans"/>
      <charset val="1"/>
    </font>
    <font>
      <i/>
      <sz val="10"/>
      <color rgb="FF666666"/>
      <name val="Noto Sans"/>
      <charset val="1"/>
    </font>
    <font>
      <b/>
      <sz val="11"/>
      <color rgb="FF171717"/>
      <name val="Noto Sans"/>
      <charset val="1"/>
    </font>
    <font>
      <b/>
      <sz val="12"/>
      <color rgb="FF0027E3"/>
      <name val="Noto Sans"/>
      <charset val="1"/>
    </font>
    <font>
      <b/>
      <sz val="10"/>
      <color rgb="FF0027E3"/>
      <name val="Noto Sans"/>
      <charset val="1"/>
    </font>
    <font>
      <b/>
      <sz val="10"/>
      <color rgb="FF171717"/>
      <name val="Noto Sans"/>
      <charset val="1"/>
    </font>
    <font>
      <b/>
      <sz val="10"/>
      <color rgb="FFFFFFFF"/>
      <name val="Noto Sans"/>
      <charset val="1"/>
    </font>
  </fonts>
  <fills count="7">
    <fill>
      <patternFill patternType="none"/>
    </fill>
    <fill>
      <patternFill patternType="gray125"/>
    </fill>
    <fill>
      <patternFill patternType="solid">
        <fgColor rgb="FFF8F8F8"/>
        <bgColor rgb="FFFFFFFF"/>
      </patternFill>
    </fill>
    <fill>
      <patternFill patternType="solid">
        <fgColor rgb="FFFFF2CC"/>
        <bgColor rgb="FFF8F8F8"/>
      </patternFill>
    </fill>
    <fill>
      <patternFill patternType="solid">
        <fgColor rgb="FF0027E3"/>
        <bgColor rgb="FF0000FF"/>
      </patternFill>
    </fill>
    <fill>
      <patternFill patternType="solid">
        <fgColor rgb="FFEAF4FF"/>
        <bgColor rgb="FFEAFBF7"/>
      </patternFill>
    </fill>
    <fill>
      <patternFill patternType="solid">
        <fgColor rgb="FFEAFBF7"/>
        <bgColor rgb="FFEAF4FF"/>
      </patternFill>
    </fill>
  </fills>
  <borders count="2">
    <border>
      <left/>
      <right/>
      <top/>
      <bottom/>
      <diagonal/>
    </border>
    <border>
      <left style="thin">
        <color rgb="FFD9DDE7"/>
      </left>
      <right style="thin">
        <color rgb="FFD9DDE7"/>
      </right>
      <top style="thin">
        <color rgb="FFD9DDE7"/>
      </top>
      <bottom style="thin">
        <color rgb="FFD9DDE7"/>
      </bottom>
      <diagonal/>
    </border>
  </borders>
  <cellStyleXfs count="2">
    <xf numFmtId="0" fontId="0" fillId="0" borderId="0"/>
    <xf numFmtId="43" fontId="1" fillId="0" borderId="0" applyBorder="0" applyAlignment="0" applyProtection="0"/>
  </cellStyleXfs>
  <cellXfs count="41">
    <xf numFmtId="0" fontId="0" fillId="0" borderId="0" xfId="0"/>
    <xf numFmtId="0" fontId="2" fillId="0" borderId="0" xfId="0" applyFont="1"/>
    <xf numFmtId="0" fontId="3" fillId="0" borderId="0" xfId="0" applyFont="1"/>
    <xf numFmtId="0" fontId="4" fillId="0" borderId="0" xfId="0" applyFont="1"/>
    <xf numFmtId="0" fontId="5" fillId="0" borderId="0" xfId="0" applyFont="1"/>
    <xf numFmtId="0" fontId="6" fillId="0" borderId="0" xfId="0" applyFont="1"/>
    <xf numFmtId="0" fontId="7" fillId="0" borderId="0" xfId="0" applyFont="1"/>
    <xf numFmtId="0" fontId="8" fillId="2" borderId="1" xfId="0" applyFont="1" applyFill="1" applyBorder="1"/>
    <xf numFmtId="0" fontId="8" fillId="3" borderId="1" xfId="0" applyFont="1" applyFill="1" applyBorder="1"/>
    <xf numFmtId="0" fontId="9" fillId="4" borderId="1" xfId="0" applyFont="1" applyFill="1" applyBorder="1"/>
    <xf numFmtId="0" fontId="10" fillId="0" borderId="1" xfId="0" applyFont="1" applyBorder="1"/>
    <xf numFmtId="0" fontId="10" fillId="3" borderId="1" xfId="0" applyFont="1" applyFill="1" applyBorder="1"/>
    <xf numFmtId="0" fontId="10" fillId="0" borderId="1" xfId="0" applyFont="1" applyBorder="1" applyAlignment="1">
      <alignment horizontal="center"/>
    </xf>
    <xf numFmtId="0" fontId="10" fillId="3" borderId="1" xfId="0" applyFont="1" applyFill="1" applyBorder="1" applyAlignment="1">
      <alignment horizontal="center"/>
    </xf>
    <xf numFmtId="0" fontId="11" fillId="0" borderId="0" xfId="0" applyFont="1"/>
    <xf numFmtId="0" fontId="12" fillId="2" borderId="1" xfId="0" applyFont="1" applyFill="1" applyBorder="1"/>
    <xf numFmtId="0" fontId="4" fillId="5" borderId="1" xfId="0" applyFont="1" applyFill="1" applyBorder="1" applyAlignment="1">
      <alignment vertical="top" wrapText="1"/>
    </xf>
    <xf numFmtId="0" fontId="13" fillId="0" borderId="0" xfId="0" applyFont="1"/>
    <xf numFmtId="0" fontId="14" fillId="0" borderId="0" xfId="0" applyFont="1"/>
    <xf numFmtId="164" fontId="4" fillId="5" borderId="1" xfId="0" applyNumberFormat="1" applyFont="1" applyFill="1" applyBorder="1" applyAlignment="1">
      <alignment vertical="top" wrapText="1"/>
    </xf>
    <xf numFmtId="0" fontId="10" fillId="2" borderId="1" xfId="0" applyFont="1" applyFill="1" applyBorder="1"/>
    <xf numFmtId="0" fontId="10" fillId="5" borderId="1" xfId="0" applyFont="1" applyFill="1" applyBorder="1"/>
    <xf numFmtId="164" fontId="10" fillId="5" borderId="1" xfId="0" applyNumberFormat="1" applyFont="1" applyFill="1" applyBorder="1"/>
    <xf numFmtId="9" fontId="4" fillId="5" borderId="1" xfId="0" applyNumberFormat="1" applyFont="1" applyFill="1" applyBorder="1" applyAlignment="1">
      <alignment vertical="top" wrapText="1"/>
    </xf>
    <xf numFmtId="0" fontId="13" fillId="0" borderId="1" xfId="0" applyFont="1" applyBorder="1" applyAlignment="1">
      <alignment vertical="top" wrapText="1"/>
    </xf>
    <xf numFmtId="0" fontId="10" fillId="2" borderId="1" xfId="0" applyFont="1" applyFill="1" applyBorder="1" applyAlignment="1">
      <alignment vertical="top" wrapText="1"/>
    </xf>
    <xf numFmtId="0" fontId="10" fillId="5" borderId="1" xfId="0" applyFont="1" applyFill="1" applyBorder="1" applyAlignment="1">
      <alignment vertical="top" wrapText="1"/>
    </xf>
    <xf numFmtId="0" fontId="10" fillId="6" borderId="1" xfId="0" applyFont="1" applyFill="1" applyBorder="1" applyAlignment="1">
      <alignment vertical="top" wrapText="1"/>
    </xf>
    <xf numFmtId="0" fontId="9" fillId="0" borderId="0" xfId="0" applyFont="1"/>
    <xf numFmtId="0" fontId="15" fillId="0" borderId="0" xfId="0" applyFont="1"/>
    <xf numFmtId="0" fontId="10" fillId="0" borderId="0" xfId="0" applyFont="1"/>
    <xf numFmtId="165" fontId="10" fillId="0" borderId="0" xfId="0" applyNumberFormat="1" applyFont="1"/>
    <xf numFmtId="0" fontId="15" fillId="2" borderId="1" xfId="0" applyFont="1" applyFill="1" applyBorder="1"/>
    <xf numFmtId="0" fontId="10" fillId="5" borderId="1" xfId="0" applyFont="1" applyFill="1" applyBorder="1" applyAlignment="1">
      <alignment horizontal="center"/>
    </xf>
    <xf numFmtId="165" fontId="10" fillId="5" borderId="1" xfId="0" applyNumberFormat="1" applyFont="1" applyFill="1" applyBorder="1" applyAlignment="1">
      <alignment vertical="top" wrapText="1"/>
    </xf>
    <xf numFmtId="164" fontId="10" fillId="5" borderId="1" xfId="0" applyNumberFormat="1" applyFont="1" applyFill="1" applyBorder="1" applyAlignment="1">
      <alignment vertical="top" wrapText="1"/>
    </xf>
    <xf numFmtId="0" fontId="16" fillId="4" borderId="1" xfId="0" applyFont="1" applyFill="1" applyBorder="1" applyAlignment="1">
      <alignment horizontal="center" vertical="center" wrapText="1"/>
    </xf>
    <xf numFmtId="0" fontId="10" fillId="0" borderId="0" xfId="0" applyFont="1" applyAlignment="1">
      <alignment wrapText="1"/>
    </xf>
    <xf numFmtId="165" fontId="0" fillId="0" borderId="0" xfId="0" applyNumberFormat="1"/>
    <xf numFmtId="164" fontId="15" fillId="0" borderId="0" xfId="0" applyNumberFormat="1" applyFont="1"/>
    <xf numFmtId="169" fontId="1" fillId="0" borderId="0" xfId="1" applyNumberFormat="1"/>
  </cellXfs>
  <cellStyles count="2">
    <cellStyle name="Comma" xfId="1" builtinId="3"/>
    <cellStyle name="Normal" xfId="0" builtinId="0"/>
  </cellStyles>
  <dxfs count="0"/>
  <tableStyles count="0" defaultTableStyle="TableStyleMedium2" defaultPivotStyle="PivotStyleLight16"/>
  <colors>
    <indexedColors>
      <rgbColor rgb="FF000000"/>
      <rgbColor rgb="FFFFFFFF"/>
      <rgbColor rgb="FFFF0000"/>
      <rgbColor rgb="FF00FF00"/>
      <rgbColor rgb="FF0027E3"/>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2CC"/>
      <rgbColor rgb="FFEAFBF7"/>
      <rgbColor rgb="FF660066"/>
      <rgbColor rgb="FFFF8080"/>
      <rgbColor rgb="FF0066CC"/>
      <rgbColor rgb="FFD9DDE7"/>
      <rgbColor rgb="FF000080"/>
      <rgbColor rgb="FFFF00FF"/>
      <rgbColor rgb="FFFFFF00"/>
      <rgbColor rgb="FF00FFFF"/>
      <rgbColor rgb="FF800080"/>
      <rgbColor rgb="FF800000"/>
      <rgbColor rgb="FF008080"/>
      <rgbColor rgb="FF0000FF"/>
      <rgbColor rgb="FF00CCFF"/>
      <rgbColor rgb="FFEAF4FF"/>
      <rgbColor rgb="FFF8F8F8"/>
      <rgbColor rgb="FFFFFF99"/>
      <rgbColor rgb="FF99CCFF"/>
      <rgbColor rgb="FFFF99CC"/>
      <rgbColor rgb="FFCC99FF"/>
      <rgbColor rgb="FFFFCC99"/>
      <rgbColor rgb="FF3366FF"/>
      <rgbColor rgb="FF33CCCC"/>
      <rgbColor rgb="FF99CC00"/>
      <rgbColor rgb="FFFFCC00"/>
      <rgbColor rgb="FFFF9900"/>
      <rgbColor rgb="FFFF6600"/>
      <rgbColor rgb="FF666666"/>
      <rgbColor rgb="FF969696"/>
      <rgbColor rgb="FF003366"/>
      <rgbColor rgb="FF339966"/>
      <rgbColor rgb="FF171717"/>
      <rgbColor rgb="FF333300"/>
      <rgbColor rgb="FF993300"/>
      <rgbColor rgb="FF993366"/>
      <rgbColor rgb="FF333399"/>
      <rgbColor rgb="FF555555"/>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13</xdr:row>
          <xdr:rowOff>76200</xdr:rowOff>
        </xdr:from>
        <xdr:to>
          <xdr:col>3</xdr:col>
          <xdr:colOff>1485900</xdr:colOff>
          <xdr:row>13</xdr:row>
          <xdr:rowOff>476250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Save Submission Macro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533400</xdr:colOff>
          <xdr:row>13</xdr:row>
          <xdr:rowOff>114300</xdr:rowOff>
        </xdr:from>
        <xdr:to>
          <xdr:col>4</xdr:col>
          <xdr:colOff>2019300</xdr:colOff>
          <xdr:row>13</xdr:row>
          <xdr:rowOff>495300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Reset Form Macro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10"/>
  <sheetViews>
    <sheetView showGridLines="0" tabSelected="1" zoomScaleNormal="100" workbookViewId="0"/>
  </sheetViews>
  <sheetFormatPr defaultColWidth="8.5703125" defaultRowHeight="15" x14ac:dyDescent="0.25"/>
  <cols>
    <col min="1" max="1" width="105" customWidth="1"/>
  </cols>
  <sheetData>
    <row r="1" spans="1:1" ht="15" customHeight="1" x14ac:dyDescent="0.4">
      <c r="A1" s="1" t="s">
        <v>0</v>
      </c>
    </row>
    <row r="3" spans="1:1" ht="15" customHeight="1" x14ac:dyDescent="0.35">
      <c r="A3" s="2" t="s">
        <v>1</v>
      </c>
    </row>
    <row r="4" spans="1:1" ht="15" customHeight="1" x14ac:dyDescent="0.3">
      <c r="A4" s="3" t="s">
        <v>2</v>
      </c>
    </row>
    <row r="5" spans="1:1" ht="15" customHeight="1" x14ac:dyDescent="0.3">
      <c r="A5" s="3" t="s">
        <v>3</v>
      </c>
    </row>
    <row r="6" spans="1:1" ht="15" customHeight="1" x14ac:dyDescent="0.3">
      <c r="A6" s="3" t="s">
        <v>4</v>
      </c>
    </row>
    <row r="7" spans="1:1" ht="15" customHeight="1" x14ac:dyDescent="0.3">
      <c r="A7" s="3" t="s">
        <v>5</v>
      </c>
    </row>
    <row r="8" spans="1:1" ht="15" customHeight="1" x14ac:dyDescent="0.3">
      <c r="A8" s="3" t="s">
        <v>6</v>
      </c>
    </row>
    <row r="10" spans="1:1" ht="15" customHeight="1" x14ac:dyDescent="0.3">
      <c r="A10" s="4" t="s">
        <v>7</v>
      </c>
    </row>
  </sheetData>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4"/>
  <sheetViews>
    <sheetView showGridLines="0" zoomScaleNormal="100" workbookViewId="0"/>
  </sheetViews>
  <sheetFormatPr defaultColWidth="8.5703125" defaultRowHeight="15" x14ac:dyDescent="0.25"/>
  <cols>
    <col min="1" max="1" width="28" customWidth="1"/>
    <col min="2" max="2" width="45" customWidth="1"/>
  </cols>
  <sheetData>
    <row r="1" spans="1:2" ht="15" customHeight="1" x14ac:dyDescent="0.3">
      <c r="A1" s="5" t="s">
        <v>8</v>
      </c>
    </row>
    <row r="3" spans="1:2" ht="15" customHeight="1" x14ac:dyDescent="0.25">
      <c r="A3" s="6" t="s">
        <v>9</v>
      </c>
    </row>
    <row r="4" spans="1:2" ht="15" customHeight="1" x14ac:dyDescent="0.25">
      <c r="A4" s="7" t="s">
        <v>10</v>
      </c>
      <c r="B4" s="8"/>
    </row>
  </sheetData>
  <pageMargins left="0.75" right="0.75" top="1" bottom="1" header="0.511811023622047" footer="0.511811023622047"/>
  <pageSetup paperSize="9" orientation="portrait" horizontalDpi="300" verticalDpi="300"/>
  <extLst>
    <ext xmlns:x14="http://schemas.microsoft.com/office/spreadsheetml/2009/9/main" uri="{CCE6A557-97BC-4b89-ADB6-D9C93CAAB3DF}">
      <x14:dataValidations xmlns:xm="http://schemas.microsoft.com/office/excel/2006/main" count="1">
        <x14:dataValidation type="list" xr:uid="{00000000-0002-0000-0100-000000000000}">
          <x14:formula1>
            <xm:f>Setup!$A$2:$A$20</xm:f>
          </x14:formula1>
          <x14:formula2>
            <xm:f>0</xm:f>
          </x14:formula2>
          <xm:sqref>B4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20"/>
  <sheetViews>
    <sheetView showGridLines="0" zoomScaleNormal="100" workbookViewId="0"/>
  </sheetViews>
  <sheetFormatPr defaultColWidth="8.5703125" defaultRowHeight="15" x14ac:dyDescent="0.25"/>
  <cols>
    <col min="1" max="1" width="38" customWidth="1"/>
    <col min="2" max="2" width="16" customWidth="1"/>
    <col min="3" max="3" width="15" customWidth="1"/>
  </cols>
  <sheetData>
    <row r="1" spans="1:3" ht="15" customHeight="1" x14ac:dyDescent="0.3">
      <c r="A1" s="9" t="s">
        <v>11</v>
      </c>
      <c r="B1" s="9" t="s">
        <v>12</v>
      </c>
      <c r="C1" s="9" t="s">
        <v>13</v>
      </c>
    </row>
    <row r="2" spans="1:3" ht="15" customHeight="1" x14ac:dyDescent="0.3">
      <c r="A2" s="10" t="s">
        <v>14</v>
      </c>
      <c r="B2" s="11">
        <v>85</v>
      </c>
      <c r="C2" s="11">
        <v>30</v>
      </c>
    </row>
    <row r="3" spans="1:3" ht="15" customHeight="1" x14ac:dyDescent="0.3">
      <c r="A3" s="10" t="s">
        <v>15</v>
      </c>
      <c r="B3" s="11">
        <v>88</v>
      </c>
      <c r="C3" s="11">
        <v>24</v>
      </c>
    </row>
    <row r="4" spans="1:3" ht="15" customHeight="1" x14ac:dyDescent="0.3">
      <c r="A4" s="10" t="s">
        <v>16</v>
      </c>
      <c r="B4" s="11">
        <v>83</v>
      </c>
      <c r="C4" s="11">
        <v>34</v>
      </c>
    </row>
    <row r="5" spans="1:3" ht="15" customHeight="1" x14ac:dyDescent="0.3">
      <c r="A5" s="10" t="s">
        <v>17</v>
      </c>
      <c r="B5" s="11">
        <v>78</v>
      </c>
      <c r="C5" s="11">
        <v>44</v>
      </c>
    </row>
    <row r="6" spans="1:3" ht="15" customHeight="1" x14ac:dyDescent="0.3">
      <c r="A6" s="10" t="s">
        <v>18</v>
      </c>
      <c r="B6" s="11">
        <v>88</v>
      </c>
      <c r="C6" s="11">
        <v>24</v>
      </c>
    </row>
    <row r="7" spans="1:3" ht="15" customHeight="1" x14ac:dyDescent="0.3">
      <c r="A7" s="10" t="s">
        <v>19</v>
      </c>
      <c r="B7" s="11">
        <v>82</v>
      </c>
      <c r="C7" s="11">
        <v>36</v>
      </c>
    </row>
    <row r="8" spans="1:3" ht="15" customHeight="1" x14ac:dyDescent="0.3">
      <c r="A8" s="10" t="s">
        <v>20</v>
      </c>
      <c r="B8" s="11">
        <v>86</v>
      </c>
      <c r="C8" s="11">
        <v>28</v>
      </c>
    </row>
    <row r="9" spans="1:3" ht="15" customHeight="1" x14ac:dyDescent="0.3">
      <c r="A9" s="10" t="s">
        <v>21</v>
      </c>
      <c r="B9" s="11">
        <v>90</v>
      </c>
      <c r="C9" s="11">
        <v>20</v>
      </c>
    </row>
    <row r="10" spans="1:3" ht="15" customHeight="1" x14ac:dyDescent="0.3">
      <c r="A10" s="10" t="s">
        <v>22</v>
      </c>
      <c r="B10" s="11">
        <v>84</v>
      </c>
      <c r="C10" s="11">
        <v>32</v>
      </c>
    </row>
    <row r="11" spans="1:3" ht="15" customHeight="1" x14ac:dyDescent="0.3">
      <c r="A11" s="10" t="s">
        <v>23</v>
      </c>
      <c r="B11" s="11">
        <v>78</v>
      </c>
      <c r="C11" s="11">
        <v>44</v>
      </c>
    </row>
    <row r="12" spans="1:3" ht="15" customHeight="1" x14ac:dyDescent="0.3">
      <c r="A12" s="10" t="s">
        <v>24</v>
      </c>
      <c r="B12" s="11">
        <v>80</v>
      </c>
      <c r="C12" s="11">
        <v>40</v>
      </c>
    </row>
    <row r="13" spans="1:3" ht="15" customHeight="1" x14ac:dyDescent="0.3">
      <c r="A13" s="10" t="s">
        <v>25</v>
      </c>
      <c r="B13" s="11">
        <v>87</v>
      </c>
      <c r="C13" s="11">
        <v>26</v>
      </c>
    </row>
    <row r="14" spans="1:3" ht="15" customHeight="1" x14ac:dyDescent="0.3">
      <c r="A14" s="10" t="s">
        <v>26</v>
      </c>
      <c r="B14" s="11">
        <v>76</v>
      </c>
      <c r="C14" s="11">
        <v>48</v>
      </c>
    </row>
    <row r="15" spans="1:3" ht="15" customHeight="1" x14ac:dyDescent="0.3">
      <c r="A15" s="10" t="s">
        <v>27</v>
      </c>
      <c r="B15" s="11">
        <v>83</v>
      </c>
      <c r="C15" s="11">
        <v>34</v>
      </c>
    </row>
    <row r="16" spans="1:3" ht="15" customHeight="1" x14ac:dyDescent="0.3">
      <c r="A16" s="10" t="s">
        <v>28</v>
      </c>
      <c r="B16" s="11">
        <v>50</v>
      </c>
      <c r="C16" s="11">
        <v>100</v>
      </c>
    </row>
    <row r="17" spans="1:3" ht="15" customHeight="1" x14ac:dyDescent="0.3">
      <c r="A17" s="10" t="s">
        <v>29</v>
      </c>
      <c r="B17" s="11">
        <v>72</v>
      </c>
      <c r="C17" s="11">
        <v>56</v>
      </c>
    </row>
    <row r="18" spans="1:3" ht="15" customHeight="1" x14ac:dyDescent="0.3">
      <c r="A18" s="10" t="s">
        <v>30</v>
      </c>
      <c r="B18" s="11">
        <v>64</v>
      </c>
      <c r="C18" s="11">
        <v>72</v>
      </c>
    </row>
    <row r="19" spans="1:3" ht="15" customHeight="1" x14ac:dyDescent="0.3">
      <c r="A19" s="10" t="s">
        <v>31</v>
      </c>
      <c r="B19" s="11">
        <v>88</v>
      </c>
      <c r="C19" s="11">
        <v>24</v>
      </c>
    </row>
    <row r="20" spans="1:3" ht="15" customHeight="1" x14ac:dyDescent="0.3">
      <c r="A20" s="10" t="s">
        <v>32</v>
      </c>
      <c r="B20" s="11">
        <v>85</v>
      </c>
      <c r="C20" s="11">
        <v>30</v>
      </c>
    </row>
  </sheetData>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I17"/>
  <sheetViews>
    <sheetView showGridLines="0" zoomScaleNormal="100" workbookViewId="0">
      <pane ySplit="1" topLeftCell="A2" activePane="bottomLeft" state="frozen"/>
      <selection pane="bottomLeft" activeCell="I17" sqref="I17"/>
    </sheetView>
  </sheetViews>
  <sheetFormatPr defaultColWidth="8.5703125" defaultRowHeight="15" x14ac:dyDescent="0.25"/>
  <cols>
    <col min="1" max="1" width="10" customWidth="1"/>
    <col min="2" max="2" width="16" customWidth="1"/>
    <col min="3" max="3" width="60" customWidth="1"/>
    <col min="4" max="9" width="12" customWidth="1"/>
  </cols>
  <sheetData>
    <row r="1" spans="1:9" ht="15" customHeight="1" x14ac:dyDescent="0.3">
      <c r="A1" s="9" t="s">
        <v>33</v>
      </c>
      <c r="B1" s="9" t="s">
        <v>34</v>
      </c>
      <c r="C1" s="9" t="s">
        <v>35</v>
      </c>
      <c r="D1" s="9" t="s">
        <v>36</v>
      </c>
      <c r="E1" s="9" t="s">
        <v>37</v>
      </c>
      <c r="F1" s="9" t="s">
        <v>38</v>
      </c>
      <c r="G1" s="9" t="s">
        <v>39</v>
      </c>
      <c r="H1" s="9" t="s">
        <v>40</v>
      </c>
      <c r="I1" s="9" t="s">
        <v>41</v>
      </c>
    </row>
    <row r="2" spans="1:9" ht="15" customHeight="1" x14ac:dyDescent="0.3">
      <c r="A2" s="10" t="s">
        <v>42</v>
      </c>
      <c r="B2" s="10" t="s">
        <v>43</v>
      </c>
      <c r="C2" s="10" t="s">
        <v>44</v>
      </c>
      <c r="D2" s="12">
        <v>1</v>
      </c>
      <c r="E2" s="12">
        <v>2</v>
      </c>
      <c r="F2" s="12">
        <v>3</v>
      </c>
      <c r="G2" s="12">
        <v>4</v>
      </c>
      <c r="H2" s="12">
        <v>5</v>
      </c>
      <c r="I2" s="13"/>
    </row>
    <row r="3" spans="1:9" ht="15" customHeight="1" x14ac:dyDescent="0.3">
      <c r="A3" s="10" t="s">
        <v>45</v>
      </c>
      <c r="B3" s="10" t="s">
        <v>43</v>
      </c>
      <c r="C3" s="10" t="s">
        <v>46</v>
      </c>
      <c r="D3" s="12">
        <v>1</v>
      </c>
      <c r="E3" s="12">
        <v>2</v>
      </c>
      <c r="F3" s="12">
        <v>3</v>
      </c>
      <c r="G3" s="12">
        <v>4</v>
      </c>
      <c r="H3" s="12">
        <v>5</v>
      </c>
      <c r="I3" s="13"/>
    </row>
    <row r="4" spans="1:9" ht="15" customHeight="1" x14ac:dyDescent="0.3">
      <c r="A4" s="10" t="s">
        <v>47</v>
      </c>
      <c r="B4" s="10" t="s">
        <v>43</v>
      </c>
      <c r="C4" s="10" t="s">
        <v>48</v>
      </c>
      <c r="D4" s="12">
        <v>1</v>
      </c>
      <c r="E4" s="12">
        <v>2</v>
      </c>
      <c r="F4" s="12">
        <v>3</v>
      </c>
      <c r="G4" s="12">
        <v>4</v>
      </c>
      <c r="H4" s="12">
        <v>5</v>
      </c>
      <c r="I4" s="13"/>
    </row>
    <row r="5" spans="1:9" ht="15" customHeight="1" x14ac:dyDescent="0.3">
      <c r="A5" s="10" t="s">
        <v>49</v>
      </c>
      <c r="B5" s="10" t="s">
        <v>43</v>
      </c>
      <c r="C5" s="10" t="s">
        <v>50</v>
      </c>
      <c r="D5" s="12">
        <v>1</v>
      </c>
      <c r="E5" s="12">
        <v>2</v>
      </c>
      <c r="F5" s="12">
        <v>3</v>
      </c>
      <c r="G5" s="12">
        <v>4</v>
      </c>
      <c r="H5" s="12">
        <v>5</v>
      </c>
      <c r="I5" s="13"/>
    </row>
    <row r="6" spans="1:9" ht="15" customHeight="1" x14ac:dyDescent="0.3">
      <c r="A6" s="10" t="s">
        <v>51</v>
      </c>
      <c r="B6" s="10" t="s">
        <v>52</v>
      </c>
      <c r="C6" s="10" t="s">
        <v>53</v>
      </c>
      <c r="D6" s="12">
        <v>1</v>
      </c>
      <c r="E6" s="12">
        <v>2</v>
      </c>
      <c r="F6" s="12">
        <v>3</v>
      </c>
      <c r="G6" s="12">
        <v>4</v>
      </c>
      <c r="H6" s="12">
        <v>5</v>
      </c>
      <c r="I6" s="13"/>
    </row>
    <row r="7" spans="1:9" ht="15" customHeight="1" x14ac:dyDescent="0.3">
      <c r="A7" s="10" t="s">
        <v>54</v>
      </c>
      <c r="B7" s="10" t="s">
        <v>52</v>
      </c>
      <c r="C7" s="10" t="s">
        <v>55</v>
      </c>
      <c r="D7" s="12">
        <v>1</v>
      </c>
      <c r="E7" s="12">
        <v>2</v>
      </c>
      <c r="F7" s="12">
        <v>3</v>
      </c>
      <c r="G7" s="12">
        <v>4</v>
      </c>
      <c r="H7" s="12">
        <v>5</v>
      </c>
      <c r="I7" s="13"/>
    </row>
    <row r="8" spans="1:9" ht="15" customHeight="1" x14ac:dyDescent="0.3">
      <c r="A8" s="10" t="s">
        <v>56</v>
      </c>
      <c r="B8" s="10" t="s">
        <v>52</v>
      </c>
      <c r="C8" s="10" t="s">
        <v>57</v>
      </c>
      <c r="D8" s="12">
        <v>1</v>
      </c>
      <c r="E8" s="12">
        <v>2</v>
      </c>
      <c r="F8" s="12">
        <v>3</v>
      </c>
      <c r="G8" s="12">
        <v>4</v>
      </c>
      <c r="H8" s="12">
        <v>5</v>
      </c>
      <c r="I8" s="13"/>
    </row>
    <row r="9" spans="1:9" ht="15" customHeight="1" x14ac:dyDescent="0.3">
      <c r="A9" s="10" t="s">
        <v>58</v>
      </c>
      <c r="B9" s="10" t="s">
        <v>52</v>
      </c>
      <c r="C9" s="10" t="s">
        <v>59</v>
      </c>
      <c r="D9" s="12">
        <v>1</v>
      </c>
      <c r="E9" s="12">
        <v>2</v>
      </c>
      <c r="F9" s="12">
        <v>3</v>
      </c>
      <c r="G9" s="12">
        <v>4</v>
      </c>
      <c r="H9" s="12">
        <v>5</v>
      </c>
      <c r="I9" s="13"/>
    </row>
    <row r="10" spans="1:9" ht="15" customHeight="1" x14ac:dyDescent="0.3">
      <c r="A10" s="10" t="s">
        <v>60</v>
      </c>
      <c r="B10" s="10" t="s">
        <v>61</v>
      </c>
      <c r="C10" s="10" t="s">
        <v>62</v>
      </c>
      <c r="D10" s="12">
        <v>1</v>
      </c>
      <c r="E10" s="12">
        <v>2</v>
      </c>
      <c r="F10" s="12">
        <v>3</v>
      </c>
      <c r="G10" s="12">
        <v>4</v>
      </c>
      <c r="H10" s="12">
        <v>5</v>
      </c>
      <c r="I10" s="13"/>
    </row>
    <row r="11" spans="1:9" ht="15" customHeight="1" x14ac:dyDescent="0.3">
      <c r="A11" s="10" t="s">
        <v>63</v>
      </c>
      <c r="B11" s="10" t="s">
        <v>61</v>
      </c>
      <c r="C11" s="10" t="s">
        <v>64</v>
      </c>
      <c r="D11" s="12">
        <v>1</v>
      </c>
      <c r="E11" s="12">
        <v>2</v>
      </c>
      <c r="F11" s="12">
        <v>3</v>
      </c>
      <c r="G11" s="12">
        <v>4</v>
      </c>
      <c r="H11" s="12">
        <v>5</v>
      </c>
      <c r="I11" s="13"/>
    </row>
    <row r="12" spans="1:9" ht="15" customHeight="1" x14ac:dyDescent="0.3">
      <c r="A12" s="10" t="s">
        <v>65</v>
      </c>
      <c r="B12" s="10" t="s">
        <v>61</v>
      </c>
      <c r="C12" s="10" t="s">
        <v>66</v>
      </c>
      <c r="D12" s="12">
        <v>1</v>
      </c>
      <c r="E12" s="12">
        <v>2</v>
      </c>
      <c r="F12" s="12">
        <v>3</v>
      </c>
      <c r="G12" s="12">
        <v>4</v>
      </c>
      <c r="H12" s="12">
        <v>5</v>
      </c>
      <c r="I12" s="13"/>
    </row>
    <row r="13" spans="1:9" ht="15" customHeight="1" x14ac:dyDescent="0.3">
      <c r="A13" s="10" t="s">
        <v>67</v>
      </c>
      <c r="B13" s="10" t="s">
        <v>61</v>
      </c>
      <c r="C13" s="10" t="s">
        <v>68</v>
      </c>
      <c r="D13" s="12">
        <v>1</v>
      </c>
      <c r="E13" s="12">
        <v>2</v>
      </c>
      <c r="F13" s="12">
        <v>3</v>
      </c>
      <c r="G13" s="12">
        <v>4</v>
      </c>
      <c r="H13" s="12">
        <v>5</v>
      </c>
      <c r="I13" s="13"/>
    </row>
    <row r="14" spans="1:9" ht="15" customHeight="1" x14ac:dyDescent="0.3">
      <c r="A14" s="10" t="s">
        <v>69</v>
      </c>
      <c r="B14" s="10" t="s">
        <v>70</v>
      </c>
      <c r="C14" s="10" t="s">
        <v>71</v>
      </c>
      <c r="D14" s="12">
        <v>1</v>
      </c>
      <c r="E14" s="12">
        <v>2</v>
      </c>
      <c r="F14" s="12">
        <v>3</v>
      </c>
      <c r="G14" s="12">
        <v>4</v>
      </c>
      <c r="H14" s="12">
        <v>5</v>
      </c>
      <c r="I14" s="13"/>
    </row>
    <row r="15" spans="1:9" ht="15" customHeight="1" x14ac:dyDescent="0.3">
      <c r="A15" s="10" t="s">
        <v>72</v>
      </c>
      <c r="B15" s="10" t="s">
        <v>70</v>
      </c>
      <c r="C15" s="10" t="s">
        <v>73</v>
      </c>
      <c r="D15" s="12">
        <v>1</v>
      </c>
      <c r="E15" s="12">
        <v>2</v>
      </c>
      <c r="F15" s="12">
        <v>3</v>
      </c>
      <c r="G15" s="12">
        <v>4</v>
      </c>
      <c r="H15" s="12">
        <v>5</v>
      </c>
      <c r="I15" s="13"/>
    </row>
    <row r="16" spans="1:9" ht="15" customHeight="1" x14ac:dyDescent="0.3">
      <c r="A16" s="10" t="s">
        <v>74</v>
      </c>
      <c r="B16" s="10" t="s">
        <v>70</v>
      </c>
      <c r="C16" s="10" t="s">
        <v>75</v>
      </c>
      <c r="D16" s="12">
        <v>1</v>
      </c>
      <c r="E16" s="12">
        <v>2</v>
      </c>
      <c r="F16" s="12">
        <v>3</v>
      </c>
      <c r="G16" s="12">
        <v>4</v>
      </c>
      <c r="H16" s="12">
        <v>5</v>
      </c>
      <c r="I16" s="13"/>
    </row>
    <row r="17" spans="1:9" ht="15" customHeight="1" x14ac:dyDescent="0.3">
      <c r="A17" s="10" t="s">
        <v>76</v>
      </c>
      <c r="B17" s="10" t="s">
        <v>70</v>
      </c>
      <c r="C17" s="10" t="s">
        <v>77</v>
      </c>
      <c r="D17" s="12">
        <v>1</v>
      </c>
      <c r="E17" s="12">
        <v>2</v>
      </c>
      <c r="F17" s="12">
        <v>3</v>
      </c>
      <c r="G17" s="12">
        <v>4</v>
      </c>
      <c r="H17" s="12">
        <v>5</v>
      </c>
      <c r="I17" s="13"/>
    </row>
  </sheetData>
  <dataValidations count="1">
    <dataValidation type="list" sqref="I2:I17" xr:uid="{00000000-0002-0000-0300-000000000000}">
      <formula1>"1,2,3,4,5"</formula1>
      <formula2>0</formula2>
    </dataValidation>
  </dataValidations>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17"/>
  <sheetViews>
    <sheetView showGridLines="0" zoomScaleNormal="100" workbookViewId="0">
      <selection activeCell="C17" sqref="C17"/>
    </sheetView>
  </sheetViews>
  <sheetFormatPr defaultColWidth="8.5703125" defaultRowHeight="15" x14ac:dyDescent="0.25"/>
  <cols>
    <col min="1" max="1" width="52" customWidth="1"/>
    <col min="2" max="2" width="34" customWidth="1"/>
    <col min="3" max="3" width="12" customWidth="1"/>
    <col min="4" max="4" width="24" customWidth="1"/>
    <col min="5" max="5" width="46" customWidth="1"/>
    <col min="6" max="6" width="14" customWidth="1"/>
  </cols>
  <sheetData>
    <row r="1" spans="1:6" ht="15" customHeight="1" x14ac:dyDescent="0.4">
      <c r="A1" s="1" t="s">
        <v>78</v>
      </c>
    </row>
    <row r="2" spans="1:6" ht="15" customHeight="1" x14ac:dyDescent="0.3">
      <c r="A2" s="14" t="s">
        <v>79</v>
      </c>
    </row>
    <row r="3" spans="1:6" ht="15" customHeight="1" x14ac:dyDescent="0.35">
      <c r="A3" s="15" t="s">
        <v>80</v>
      </c>
      <c r="B3" s="16">
        <f>Controls!B4</f>
        <v>0</v>
      </c>
      <c r="D3" s="17" t="s">
        <v>81</v>
      </c>
      <c r="F3" s="18" t="s">
        <v>82</v>
      </c>
    </row>
    <row r="4" spans="1:6" ht="15" customHeight="1" x14ac:dyDescent="0.3">
      <c r="A4" s="15" t="s">
        <v>83</v>
      </c>
      <c r="B4" s="19" t="e">
        <f>INDEX(Setup!$B$2:$B$20, MATCH(B3, Setup!$A$2:$A$20, 0))</f>
        <v>#N/A</v>
      </c>
      <c r="D4" s="20" t="s">
        <v>43</v>
      </c>
      <c r="E4" s="21">
        <f>SUM(Inputs!I2:I5)</f>
        <v>0</v>
      </c>
      <c r="F4" s="22">
        <f>ROUND(E4/20*100,1)</f>
        <v>0</v>
      </c>
    </row>
    <row r="5" spans="1:6" ht="15" customHeight="1" x14ac:dyDescent="0.3">
      <c r="A5" s="15" t="s">
        <v>13</v>
      </c>
      <c r="B5" s="23" t="e">
        <f>INDEX(Setup!$C$2:$C$20, MATCH(B3, Setup!$A$2:$A$20, 0))</f>
        <v>#N/A</v>
      </c>
      <c r="D5" s="20" t="s">
        <v>52</v>
      </c>
      <c r="E5" s="21">
        <f>SUM(Inputs!I6:I9)</f>
        <v>0</v>
      </c>
      <c r="F5" s="22">
        <f>ROUND(E5/20*100,1)</f>
        <v>0</v>
      </c>
    </row>
    <row r="6" spans="1:6" ht="15" customHeight="1" x14ac:dyDescent="0.3">
      <c r="A6" s="15" t="s">
        <v>84</v>
      </c>
      <c r="B6" s="19">
        <f>ROUND(((E4*30)+(E5*20)+(E6*30)+(E7*20))/20,1)</f>
        <v>0</v>
      </c>
      <c r="D6" s="20" t="s">
        <v>61</v>
      </c>
      <c r="E6" s="21">
        <f>SUM(Inputs!I10:I13)</f>
        <v>0</v>
      </c>
      <c r="F6" s="22">
        <f>ROUND(E6/20*100,1)</f>
        <v>0</v>
      </c>
    </row>
    <row r="7" spans="1:6" ht="15" customHeight="1" x14ac:dyDescent="0.3">
      <c r="A7" s="15" t="s">
        <v>85</v>
      </c>
      <c r="B7" s="16" t="str">
        <f>IF(B6&lt;40,"High risk",IF(B6&lt;70,"Moderate risk","Low risk"))</f>
        <v>High risk</v>
      </c>
      <c r="D7" s="20" t="s">
        <v>70</v>
      </c>
      <c r="E7" s="21">
        <f>SUM(Inputs!I14:I17)</f>
        <v>0</v>
      </c>
      <c r="F7" s="22">
        <f>ROUND(E7/20*100,1)</f>
        <v>0</v>
      </c>
    </row>
    <row r="8" spans="1:6" ht="15" customHeight="1" x14ac:dyDescent="0.3">
      <c r="A8" s="15" t="s">
        <v>86</v>
      </c>
      <c r="B8" s="16" t="e">
        <f>IF(B6-B4&gt;=5,"Above comparison point",IF(B6-B4&lt;=-5,"Below comparison point","Broadly in line"))</f>
        <v>#N/A</v>
      </c>
    </row>
    <row r="9" spans="1:6" ht="15" customHeight="1" x14ac:dyDescent="0.3">
      <c r="A9" s="15" t="s">
        <v>87</v>
      </c>
      <c r="B9" s="19" t="e">
        <f>ROUND(B6-B4,1)</f>
        <v>#N/A</v>
      </c>
      <c r="D9" s="24" t="s">
        <v>88</v>
      </c>
    </row>
    <row r="10" spans="1:6" ht="24" customHeight="1" x14ac:dyDescent="0.25">
      <c r="D10" s="25" t="s">
        <v>89</v>
      </c>
      <c r="E10" s="26" t="str">
        <f>INDEX($D$4:$D$7,MATCH(MIN($E$4:$E$7),$E$4:$E$7,0))</f>
        <v>Strengths</v>
      </c>
    </row>
    <row r="11" spans="1:6" ht="43.5" customHeight="1" x14ac:dyDescent="0.25">
      <c r="D11" s="25" t="s">
        <v>90</v>
      </c>
      <c r="E11" s="26" t="str">
        <f>IF(E10="Strengths","Document what is already working so it can be repeated.",IF(E10="Weaknesses","Tighten controls and review points to reduce mistakes and rework.",IF(E10="Opportunities","Improve management accounting so reporting is more useful to management.","Improve cashflow monitoring and trigger points.")))</f>
        <v>Document what is already working so it can be repeated.</v>
      </c>
    </row>
    <row r="13" spans="1:6" ht="15" customHeight="1" x14ac:dyDescent="0.35">
      <c r="A13" s="17" t="s">
        <v>91</v>
      </c>
    </row>
    <row r="14" spans="1:6" ht="49.5" customHeight="1" x14ac:dyDescent="0.25">
      <c r="A14" s="26" t="str">
        <f>IF(B6&lt;40,"Your result suggests the finance function needs attention. The priority is to improve control, visibility and resilience before focusing on growth or optimisation.",IF(B6&lt;70,"Your result suggests the finance function is working, but there are clear areas to tighten. Stronger reporting, better ownership and improved processes will make a real difference.","Your result suggests the finance function is in decent shape. The main gains from here are likely to come from sharper insight, better decision support and building resilience for growth."))</f>
        <v>Your result suggests the finance function needs attention. The priority is to improve control, visibility and resilience before focusing on growth or optimisation.</v>
      </c>
    </row>
    <row r="16" spans="1:6" ht="15" customHeight="1" x14ac:dyDescent="0.35">
      <c r="A16" s="17" t="s">
        <v>92</v>
      </c>
    </row>
    <row r="17" spans="1:1" ht="64.5" customHeight="1" x14ac:dyDescent="0.25">
      <c r="A17" s="27" t="s">
        <v>93</v>
      </c>
    </row>
  </sheetData>
  <pageMargins left="0.75" right="0.75" top="1" bottom="1" header="0.511811023622047" footer="0.511811023622047"/>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aveSubmission">
                <anchor moveWithCells="1" sizeWithCells="1">
                  <from>
                    <xdr:col>3</xdr:col>
                    <xdr:colOff>28575</xdr:colOff>
                    <xdr:row>13</xdr:row>
                    <xdr:rowOff>76200</xdr:rowOff>
                  </from>
                  <to>
                    <xdr:col>3</xdr:col>
                    <xdr:colOff>1485900</xdr:colOff>
                    <xdr:row>13</xdr:row>
                    <xdr:rowOff>476250</xdr:rowOff>
                  </to>
                </anchor>
              </controlPr>
            </control>
          </mc:Choice>
        </mc:AlternateContent>
        <mc:AlternateContent xmlns:mc="http://schemas.openxmlformats.org/markup-compatibility/2006">
          <mc:Choice Requires="x14">
            <control shapeId="2050" r:id="rId5" name="Button 2">
              <controlPr defaultSize="0" print="0" autoFill="0" autoPict="0" macro="[0]!ResetForm">
                <anchor moveWithCells="1" sizeWithCells="1">
                  <from>
                    <xdr:col>4</xdr:col>
                    <xdr:colOff>533400</xdr:colOff>
                    <xdr:row>13</xdr:row>
                    <xdr:rowOff>114300</xdr:rowOff>
                  </from>
                  <to>
                    <xdr:col>4</xdr:col>
                    <xdr:colOff>2019300</xdr:colOff>
                    <xdr:row>13</xdr:row>
                    <xdr:rowOff>495300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C30"/>
  <sheetViews>
    <sheetView showGridLines="0" zoomScaleNormal="100" workbookViewId="0">
      <pane ySplit="1" topLeftCell="A2" activePane="bottomLeft" state="frozen"/>
      <selection pane="bottomLeft" activeCell="A25" sqref="A25"/>
    </sheetView>
  </sheetViews>
  <sheetFormatPr defaultColWidth="8.5703125" defaultRowHeight="15" x14ac:dyDescent="0.25"/>
  <cols>
    <col min="1" max="1" width="53.140625" customWidth="1"/>
    <col min="2" max="2" width="20" customWidth="1"/>
    <col min="3" max="3" width="30" customWidth="1"/>
    <col min="4" max="29" width="14" customWidth="1"/>
  </cols>
  <sheetData>
    <row r="1" spans="1:26" ht="15" customHeight="1" x14ac:dyDescent="0.4">
      <c r="A1" s="1" t="s">
        <v>94</v>
      </c>
      <c r="B1" s="28"/>
      <c r="C1" s="28"/>
      <c r="D1" s="28"/>
      <c r="E1" s="28"/>
      <c r="F1" s="28"/>
      <c r="G1" s="28"/>
      <c r="H1" s="28"/>
      <c r="I1" s="28"/>
      <c r="J1" s="28"/>
      <c r="K1" s="28"/>
      <c r="L1" s="28"/>
      <c r="M1" s="28"/>
      <c r="N1" s="28"/>
      <c r="O1" s="28"/>
      <c r="P1" s="28"/>
      <c r="Q1" s="28"/>
      <c r="R1" s="28"/>
      <c r="S1" s="28"/>
      <c r="T1" s="28"/>
      <c r="U1" s="28"/>
      <c r="V1" s="28"/>
      <c r="W1" s="28"/>
      <c r="X1" s="28"/>
      <c r="Y1" s="28"/>
      <c r="Z1" s="28"/>
    </row>
    <row r="2" spans="1:26" ht="15" customHeight="1" x14ac:dyDescent="0.35">
      <c r="A2" s="14" t="s">
        <v>95</v>
      </c>
      <c r="D2" s="17"/>
    </row>
    <row r="3" spans="1:26" ht="15" customHeight="1" x14ac:dyDescent="0.3">
      <c r="A3" s="29"/>
      <c r="B3" s="30"/>
    </row>
    <row r="4" spans="1:26" ht="15" customHeight="1" x14ac:dyDescent="0.35">
      <c r="A4" s="17" t="s">
        <v>96</v>
      </c>
      <c r="B4" s="31"/>
      <c r="D4" s="17" t="s">
        <v>97</v>
      </c>
    </row>
    <row r="5" spans="1:26" ht="15" customHeight="1" x14ac:dyDescent="0.3">
      <c r="A5" s="32" t="s">
        <v>98</v>
      </c>
      <c r="B5" s="26" t="str">
        <f ca="1">TEXT(NOW(),"yyyymmddhhmmss")</f>
        <v>20260330103009</v>
      </c>
      <c r="D5" s="32" t="s">
        <v>99</v>
      </c>
      <c r="E5" s="33">
        <f>Inputs!I2</f>
        <v>0</v>
      </c>
    </row>
    <row r="6" spans="1:26" ht="15" customHeight="1" x14ac:dyDescent="0.3">
      <c r="A6" s="32" t="s">
        <v>100</v>
      </c>
      <c r="B6" s="34">
        <f ca="1">NOW()</f>
        <v>46111.437603703707</v>
      </c>
      <c r="D6" s="32" t="s">
        <v>101</v>
      </c>
      <c r="E6" s="33">
        <f>Inputs!I3</f>
        <v>0</v>
      </c>
    </row>
    <row r="7" spans="1:26" ht="15" customHeight="1" x14ac:dyDescent="0.3">
      <c r="A7" s="32" t="s">
        <v>80</v>
      </c>
      <c r="B7" s="26">
        <f>Controls!B4</f>
        <v>0</v>
      </c>
      <c r="D7" s="32" t="s">
        <v>102</v>
      </c>
      <c r="E7" s="33">
        <f>Inputs!I4</f>
        <v>0</v>
      </c>
    </row>
    <row r="8" spans="1:26" ht="15" customHeight="1" x14ac:dyDescent="0.3">
      <c r="A8" s="32" t="s">
        <v>84</v>
      </c>
      <c r="B8" s="35">
        <f>Results!B6</f>
        <v>0</v>
      </c>
      <c r="D8" s="32" t="s">
        <v>103</v>
      </c>
      <c r="E8" s="33">
        <f>Inputs!I5</f>
        <v>0</v>
      </c>
    </row>
    <row r="9" spans="1:26" ht="15" customHeight="1" x14ac:dyDescent="0.3">
      <c r="A9" s="32" t="s">
        <v>104</v>
      </c>
      <c r="B9" s="26" t="str">
        <f>Results!B7</f>
        <v>High risk</v>
      </c>
      <c r="D9" s="32" t="s">
        <v>105</v>
      </c>
      <c r="E9" s="33">
        <f>Inputs!I6</f>
        <v>0</v>
      </c>
    </row>
    <row r="10" spans="1:26" ht="15" customHeight="1" x14ac:dyDescent="0.3">
      <c r="A10" s="32" t="s">
        <v>43</v>
      </c>
      <c r="B10" s="26">
        <f>Results!E4</f>
        <v>0</v>
      </c>
      <c r="D10" s="32" t="s">
        <v>106</v>
      </c>
      <c r="E10" s="33">
        <f>Inputs!I7</f>
        <v>0</v>
      </c>
    </row>
    <row r="11" spans="1:26" ht="15" customHeight="1" x14ac:dyDescent="0.3">
      <c r="A11" s="32" t="s">
        <v>52</v>
      </c>
      <c r="B11" s="26">
        <f>Results!E5</f>
        <v>0</v>
      </c>
      <c r="D11" s="32" t="s">
        <v>107</v>
      </c>
      <c r="E11" s="33">
        <f>Inputs!I8</f>
        <v>0</v>
      </c>
    </row>
    <row r="12" spans="1:26" ht="15" customHeight="1" x14ac:dyDescent="0.3">
      <c r="A12" s="32" t="s">
        <v>61</v>
      </c>
      <c r="B12" s="26">
        <f>Results!E6</f>
        <v>0</v>
      </c>
      <c r="D12" s="32" t="s">
        <v>108</v>
      </c>
      <c r="E12" s="33">
        <f>Inputs!I9</f>
        <v>0</v>
      </c>
    </row>
    <row r="13" spans="1:26" ht="15.75" x14ac:dyDescent="0.3">
      <c r="A13" s="32" t="s">
        <v>70</v>
      </c>
      <c r="B13" s="26">
        <f>Results!E7</f>
        <v>0</v>
      </c>
      <c r="D13" s="32" t="s">
        <v>109</v>
      </c>
      <c r="E13" s="33">
        <f>Inputs!I10</f>
        <v>0</v>
      </c>
    </row>
    <row r="14" spans="1:26" ht="15" customHeight="1" x14ac:dyDescent="0.3">
      <c r="A14" s="32" t="s">
        <v>89</v>
      </c>
      <c r="B14" s="26" t="str">
        <f>Results!E10</f>
        <v>Strengths</v>
      </c>
      <c r="D14" s="32" t="s">
        <v>110</v>
      </c>
      <c r="E14" s="33">
        <f>Inputs!I11</f>
        <v>0</v>
      </c>
    </row>
    <row r="15" spans="1:26" ht="15" customHeight="1" x14ac:dyDescent="0.3">
      <c r="A15" s="30"/>
      <c r="D15" s="32" t="s">
        <v>111</v>
      </c>
      <c r="E15" s="33">
        <f>Inputs!I12</f>
        <v>0</v>
      </c>
    </row>
    <row r="16" spans="1:26" ht="15" customHeight="1" x14ac:dyDescent="0.3">
      <c r="A16" s="30"/>
      <c r="D16" s="32" t="s">
        <v>112</v>
      </c>
      <c r="E16" s="33">
        <f>Inputs!I13</f>
        <v>0</v>
      </c>
    </row>
    <row r="17" spans="1:29" ht="15" customHeight="1" x14ac:dyDescent="0.35">
      <c r="A17" s="17" t="s">
        <v>113</v>
      </c>
      <c r="D17" s="32" t="s">
        <v>114</v>
      </c>
      <c r="E17" s="33">
        <f>Inputs!I14</f>
        <v>0</v>
      </c>
    </row>
    <row r="18" spans="1:29" ht="15" customHeight="1" x14ac:dyDescent="0.3">
      <c r="A18" s="30" t="s">
        <v>115</v>
      </c>
      <c r="D18" s="32" t="s">
        <v>116</v>
      </c>
      <c r="E18" s="33">
        <f>Inputs!I15</f>
        <v>0</v>
      </c>
    </row>
    <row r="19" spans="1:29" ht="15" customHeight="1" x14ac:dyDescent="0.3">
      <c r="A19" s="30" t="s">
        <v>117</v>
      </c>
      <c r="D19" s="32" t="s">
        <v>118</v>
      </c>
      <c r="E19" s="33">
        <f>Inputs!I16</f>
        <v>0</v>
      </c>
    </row>
    <row r="20" spans="1:29" ht="15" customHeight="1" x14ac:dyDescent="0.3">
      <c r="A20" s="30" t="s">
        <v>119</v>
      </c>
      <c r="D20" s="32" t="s">
        <v>120</v>
      </c>
      <c r="E20" s="33">
        <f>Inputs!I17</f>
        <v>0</v>
      </c>
    </row>
    <row r="21" spans="1:29" ht="15" customHeight="1" x14ac:dyDescent="0.3">
      <c r="A21" s="30" t="s">
        <v>121</v>
      </c>
      <c r="D21" s="29"/>
      <c r="E21" s="30"/>
    </row>
    <row r="22" spans="1:29" ht="15" customHeight="1" x14ac:dyDescent="0.3">
      <c r="D22" s="29"/>
      <c r="E22" s="30"/>
      <c r="F22" s="28"/>
      <c r="G22" s="28"/>
      <c r="H22" s="28"/>
      <c r="I22" s="28"/>
      <c r="J22" s="28"/>
      <c r="K22" s="28"/>
      <c r="L22" s="28"/>
      <c r="M22" s="28"/>
      <c r="N22" s="28"/>
      <c r="O22" s="28"/>
      <c r="P22" s="28"/>
      <c r="Q22" s="28"/>
      <c r="R22" s="28"/>
      <c r="S22" s="28"/>
      <c r="T22" s="28"/>
      <c r="U22" s="28"/>
      <c r="V22" s="28"/>
      <c r="W22" s="28"/>
      <c r="X22" s="28"/>
      <c r="Y22" s="28"/>
      <c r="Z22" s="28"/>
      <c r="AA22" s="28"/>
      <c r="AB22" s="28"/>
      <c r="AC22" s="28"/>
    </row>
    <row r="23" spans="1:29" ht="15" customHeight="1" x14ac:dyDescent="0.35">
      <c r="A23" s="17" t="s">
        <v>122</v>
      </c>
      <c r="D23" s="29"/>
      <c r="E23" s="30"/>
    </row>
    <row r="24" spans="1:29" ht="15" customHeight="1" x14ac:dyDescent="0.25">
      <c r="A24" s="36" t="s">
        <v>98</v>
      </c>
      <c r="B24" s="36" t="s">
        <v>100</v>
      </c>
      <c r="C24" s="36" t="s">
        <v>80</v>
      </c>
      <c r="D24" s="36" t="s">
        <v>84</v>
      </c>
      <c r="E24" s="36" t="s">
        <v>104</v>
      </c>
      <c r="F24" s="36" t="s">
        <v>43</v>
      </c>
      <c r="G24" s="36" t="s">
        <v>52</v>
      </c>
      <c r="H24" s="36" t="s">
        <v>61</v>
      </c>
      <c r="I24" s="36" t="s">
        <v>70</v>
      </c>
      <c r="J24" s="36" t="s">
        <v>89</v>
      </c>
      <c r="K24" s="36" t="s">
        <v>99</v>
      </c>
      <c r="L24" s="36" t="s">
        <v>101</v>
      </c>
      <c r="M24" s="36" t="s">
        <v>102</v>
      </c>
      <c r="N24" s="36" t="s">
        <v>103</v>
      </c>
      <c r="O24" s="36" t="s">
        <v>105</v>
      </c>
      <c r="P24" s="36" t="s">
        <v>106</v>
      </c>
      <c r="Q24" s="36" t="s">
        <v>107</v>
      </c>
      <c r="R24" s="36" t="s">
        <v>108</v>
      </c>
      <c r="S24" s="36" t="s">
        <v>109</v>
      </c>
      <c r="T24" s="36" t="s">
        <v>110</v>
      </c>
      <c r="U24" s="36" t="s">
        <v>111</v>
      </c>
      <c r="V24" s="36" t="s">
        <v>112</v>
      </c>
      <c r="W24" s="36" t="s">
        <v>114</v>
      </c>
      <c r="X24" s="36" t="s">
        <v>116</v>
      </c>
      <c r="Y24" s="36" t="s">
        <v>118</v>
      </c>
      <c r="Z24" s="36" t="s">
        <v>120</v>
      </c>
    </row>
    <row r="25" spans="1:29" ht="15" customHeight="1" x14ac:dyDescent="0.3">
      <c r="A25" s="40">
        <v>20260330102915</v>
      </c>
      <c r="B25" s="38">
        <v>46111.436979166669</v>
      </c>
      <c r="C25" t="s">
        <v>14</v>
      </c>
      <c r="D25" s="39">
        <v>58.5</v>
      </c>
      <c r="E25" s="30" t="s">
        <v>126</v>
      </c>
      <c r="F25">
        <v>11</v>
      </c>
      <c r="G25">
        <v>12</v>
      </c>
      <c r="H25">
        <v>12</v>
      </c>
      <c r="I25">
        <v>12</v>
      </c>
      <c r="J25" t="s">
        <v>43</v>
      </c>
      <c r="K25">
        <v>1</v>
      </c>
      <c r="L25">
        <v>4</v>
      </c>
      <c r="M25">
        <v>5</v>
      </c>
      <c r="N25">
        <v>1</v>
      </c>
      <c r="O25">
        <v>2</v>
      </c>
      <c r="P25">
        <v>5</v>
      </c>
      <c r="Q25">
        <v>1</v>
      </c>
      <c r="R25">
        <v>4</v>
      </c>
      <c r="S25">
        <v>2</v>
      </c>
      <c r="T25">
        <v>5</v>
      </c>
      <c r="U25">
        <v>1</v>
      </c>
      <c r="V25">
        <v>4</v>
      </c>
      <c r="W25">
        <v>5</v>
      </c>
      <c r="X25">
        <v>1</v>
      </c>
      <c r="Y25">
        <v>4</v>
      </c>
      <c r="Z25">
        <v>2</v>
      </c>
    </row>
    <row r="26" spans="1:29" ht="15" customHeight="1" x14ac:dyDescent="0.3">
      <c r="D26" s="29"/>
      <c r="E26" s="30"/>
    </row>
    <row r="27" spans="1:29" ht="15" customHeight="1" x14ac:dyDescent="0.3">
      <c r="D27" s="29"/>
      <c r="E27" s="30"/>
    </row>
    <row r="28" spans="1:29" ht="15" customHeight="1" x14ac:dyDescent="0.3">
      <c r="D28" s="29"/>
      <c r="E28" s="30"/>
    </row>
    <row r="29" spans="1:29" ht="15" customHeight="1" x14ac:dyDescent="0.3">
      <c r="D29" s="29"/>
      <c r="E29" s="30"/>
    </row>
    <row r="30" spans="1:29" ht="15" customHeight="1" x14ac:dyDescent="0.3">
      <c r="D30" s="29"/>
      <c r="E30" s="30"/>
    </row>
  </sheetData>
  <pageMargins left="0.75" right="0.75" top="1" bottom="1"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4"/>
  <sheetViews>
    <sheetView showGridLines="0" zoomScaleNormal="100" workbookViewId="0">
      <selection activeCell="A11" sqref="A11"/>
    </sheetView>
  </sheetViews>
  <sheetFormatPr defaultColWidth="8.5703125" defaultRowHeight="15" x14ac:dyDescent="0.25"/>
  <cols>
    <col min="1" max="1" width="110" customWidth="1"/>
  </cols>
  <sheetData>
    <row r="1" spans="1:1" ht="15" customHeight="1" x14ac:dyDescent="0.4">
      <c r="A1" s="1" t="s">
        <v>123</v>
      </c>
    </row>
    <row r="3" spans="1:1" ht="15" customHeight="1" x14ac:dyDescent="0.35">
      <c r="A3" s="17" t="s">
        <v>124</v>
      </c>
    </row>
    <row r="4" spans="1:1" ht="15" customHeight="1" x14ac:dyDescent="0.3">
      <c r="A4" s="37" t="s">
        <v>125</v>
      </c>
    </row>
  </sheetData>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Controls</vt:lpstr>
      <vt:lpstr>Setup</vt:lpstr>
      <vt:lpstr>Inputs</vt:lpstr>
      <vt:lpstr>Results</vt:lpstr>
      <vt:lpstr>Data</vt:lpstr>
      <vt:lpstr>Notes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Daniel Eason</cp:lastModifiedBy>
  <cp:revision>0</cp:revision>
  <dcterms:created xsi:type="dcterms:W3CDTF">2026-03-29T09:40:22Z</dcterms:created>
  <dcterms:modified xsi:type="dcterms:W3CDTF">2026-03-29T23:33:23Z</dcterms:modified>
  <dc:language>en-US</dc:language>
</cp:coreProperties>
</file>